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coring Criteria" sheetId="2" state="visible" r:id="rId4"/>
    <sheet name="Heat Map" sheetId="3" state="visible" r:id="rId5"/>
  </sheets>
  <definedNames>
    <definedName function="false" hidden="true" localSheetId="0" name="_xlnm._FilterDatabase" vbProcedure="false">'Risk Register'!$A$4:$R$18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<sst xmlns="http://schemas.openxmlformats.org/spreadsheetml/2006/main" count="191" uniqueCount="157">
  <si>
    <t xml:space="preserve">Information Security Risk Register: Sample (Fictional Company: Northwind Health Tech, Cloud SaaS)</t>
  </si>
  <si>
    <t xml:space="preserve">Sample for portfolio use. All data is fictional. Blue = input, black = formula. Scales and thresholds are on the 'Scoring Criteria' tab.</t>
  </si>
  <si>
    <t xml:space="preserve">© 2026 Hina Qurashee. All rights reserved.</t>
  </si>
  <si>
    <t xml:space="preserve">Risk ID</t>
  </si>
  <si>
    <t xml:space="preserve">Risk Description (If / Then / Resulting in)</t>
  </si>
  <si>
    <t xml:space="preserve">Category</t>
  </si>
  <si>
    <t xml:space="preserve">Affected Asset / Process</t>
  </si>
  <si>
    <t xml:space="preserve">Likelihood (1-5)</t>
  </si>
  <si>
    <t xml:space="preserve">Impact (1-5)</t>
  </si>
  <si>
    <t xml:space="preserve">Inherent Score</t>
  </si>
  <si>
    <t xml:space="preserve">Inherent Rating</t>
  </si>
  <si>
    <t xml:space="preserve">Control Reference (ISO 27001:2022 / NIST CSF)</t>
  </si>
  <si>
    <t xml:space="preserve">Treatment</t>
  </si>
  <si>
    <t xml:space="preserve">Mitigation Actions</t>
  </si>
  <si>
    <t xml:space="preserve">Risk Owner</t>
  </si>
  <si>
    <t xml:space="preserve">Due Date</t>
  </si>
  <si>
    <t xml:space="preserve">Status</t>
  </si>
  <si>
    <t xml:space="preserve">Residual Likelihood</t>
  </si>
  <si>
    <t xml:space="preserve">Residual Impact</t>
  </si>
  <si>
    <t xml:space="preserve">Residual Score</t>
  </si>
  <si>
    <t xml:space="preserve">Residual Rating</t>
  </si>
  <si>
    <t xml:space="preserve">R-001</t>
  </si>
  <si>
    <t xml:space="preserve">If privileged accounts lack MFA, then credential theft could allow database access, resulting in a PHI breach, HIPAA penalties and loss of customers.</t>
  </si>
  <si>
    <t xml:space="preserve">Cybersecurity</t>
  </si>
  <si>
    <t xml:space="preserve">Customer PHI database</t>
  </si>
  <si>
    <t xml:space="preserve">A.5.17, A.8.5 / PR.AA</t>
  </si>
  <si>
    <t xml:space="preserve">Mitigate</t>
  </si>
  <si>
    <t xml:space="preserve">Enforce phishing-resistant MFA on all admin accounts; quarterly privileged access review.</t>
  </si>
  <si>
    <t xml:space="preserve">CISO</t>
  </si>
  <si>
    <t xml:space="preserve">In Progress</t>
  </si>
  <si>
    <t xml:space="preserve">R-002</t>
  </si>
  <si>
    <t xml:space="preserve">If vendors are not assessed before onboarding, then weak vendor controls could expose shared data, resulting in a reportable incident and contract liability.</t>
  </si>
  <si>
    <t xml:space="preserve">Third-Party</t>
  </si>
  <si>
    <t xml:space="preserve">Payment and analytics vendors</t>
  </si>
  <si>
    <t xml:space="preserve">A.5.19, A.5.22 / GV.SC</t>
  </si>
  <si>
    <t xml:space="preserve">Implement tiered vendor due diligence (questionnaire, SOC 2 review) and annual reassessment.</t>
  </si>
  <si>
    <t xml:space="preserve">Vendor Risk Manager</t>
  </si>
  <si>
    <t xml:space="preserve">Open</t>
  </si>
  <si>
    <t xml:space="preserve">R-003</t>
  </si>
  <si>
    <t xml:space="preserve">If backups are not tested, then restoration could fail after ransomware or outage, resulting in extended downtime and SLA breach.</t>
  </si>
  <si>
    <t xml:space="preserve">Operational</t>
  </si>
  <si>
    <t xml:space="preserve">Production cloud environment</t>
  </si>
  <si>
    <t xml:space="preserve">A.8.13, A.5.30 / PR.DS, RC.RP</t>
  </si>
  <si>
    <t xml:space="preserve">Run quarterly restore tests; keep immutable offsite backups; document RTO/RPO.</t>
  </si>
  <si>
    <t xml:space="preserve">IT Operations Manager</t>
  </si>
  <si>
    <t xml:space="preserve">R-004</t>
  </si>
  <si>
    <t xml:space="preserve">If the annual risk assessment and policy review lapse, then audit gaps could go unnoticed, resulting in findings and fines from regulators.</t>
  </si>
  <si>
    <t xml:space="preserve">Compliance</t>
  </si>
  <si>
    <t xml:space="preserve">HIPAA Security Rule program</t>
  </si>
  <si>
    <t xml:space="preserve">A.5.36, A.5.1 / GV.PO</t>
  </si>
  <si>
    <t xml:space="preserve">Set annual compliance calendar; assign policy owners; track attestations in GRC tool.</t>
  </si>
  <si>
    <t xml:space="preserve">Compliance Manager</t>
  </si>
  <si>
    <t xml:space="preserve">R-005</t>
  </si>
  <si>
    <t xml:space="preserve">If staff are not trained on phishing, then a malicious link could be clicked, resulting in malware infection and lateral movement.</t>
  </si>
  <si>
    <t xml:space="preserve">Employee workstations and email</t>
  </si>
  <si>
    <t xml:space="preserve">A.6.3, A.8.7 / PR.AT</t>
  </si>
  <si>
    <t xml:space="preserve">Monthly phishing simulations; role-based training; email filtering upgrade.</t>
  </si>
  <si>
    <t xml:space="preserve">Security Awareness Lead</t>
  </si>
  <si>
    <t xml:space="preserve">R-006</t>
  </si>
  <si>
    <t xml:space="preserve">If patches are not applied within SLA, then known vulnerabilities could be exploited, resulting in service compromise or data loss.</t>
  </si>
  <si>
    <t xml:space="preserve">Public-facing web application</t>
  </si>
  <si>
    <t xml:space="preserve">A.8.8 / ID.RA, PR.PS</t>
  </si>
  <si>
    <t xml:space="preserve">Define patch SLAs by severity (critical within 7 days); weekly vulnerability scans; report KPI to leadership.</t>
  </si>
  <si>
    <t xml:space="preserve">Head of Engineering</t>
  </si>
  <si>
    <t xml:space="preserve">R-007</t>
  </si>
  <si>
    <t xml:space="preserve">If data retention schedules are not enforced, then excess personal data could be held, resulting in a larger breach footprint and GDPR/CCPA exposure.</t>
  </si>
  <si>
    <t xml:space="preserve">Privacy</t>
  </si>
  <si>
    <t xml:space="preserve">Customer personal data</t>
  </si>
  <si>
    <t xml:space="preserve">A.5.33, A.8.10 / GV.PO</t>
  </si>
  <si>
    <t xml:space="preserve">Publish retention schedule; automate deletion jobs; annual data inventory.</t>
  </si>
  <si>
    <t xml:space="preserve">Data Protection Officer</t>
  </si>
  <si>
    <t xml:space="preserve">R-008</t>
  </si>
  <si>
    <t xml:space="preserve">If there is no tested BCP/DR plan, then a regional outage could stall operations, resulting in prolonged downtime and revenue loss.</t>
  </si>
  <si>
    <t xml:space="preserve">Business Continuity</t>
  </si>
  <si>
    <t xml:space="preserve">Core platform and support operations</t>
  </si>
  <si>
    <t xml:space="preserve">A.5.29, A.5.30 / RC.RP</t>
  </si>
  <si>
    <t xml:space="preserve">Complete business impact analysis; run annual tabletop and failover exercise.</t>
  </si>
  <si>
    <t xml:space="preserve">Business Continuity Lead</t>
  </si>
  <si>
    <t xml:space="preserve">R-009</t>
  </si>
  <si>
    <t xml:space="preserve">If access is not removed promptly on termination, then former staff could retain access, resulting in data theft or sabotage.</t>
  </si>
  <si>
    <t xml:space="preserve">Insider Threat</t>
  </si>
  <si>
    <t xml:space="preserve">Source code and customer data</t>
  </si>
  <si>
    <t xml:space="preserve">A.6.5, A.5.18 / PR.AA</t>
  </si>
  <si>
    <t xml:space="preserve">Automate offboarding via HR-IdP integration; monthly access reconciliation.</t>
  </si>
  <si>
    <t xml:space="preserve">HR Director / IT Manager</t>
  </si>
  <si>
    <t xml:space="preserve">R-010</t>
  </si>
  <si>
    <t xml:space="preserve">If the incident response plan is untested, then response to a breach could be slow, resulting in missed 60-day notification deadlines and higher costs.</t>
  </si>
  <si>
    <t xml:space="preserve">Incident response capability</t>
  </si>
  <si>
    <t xml:space="preserve">A.5.24, A.5.26 / RS.MA</t>
  </si>
  <si>
    <t xml:space="preserve">Update IR plan and playbooks; run semi-annual tabletop; retain external IR firm.</t>
  </si>
  <si>
    <t xml:space="preserve">R-011</t>
  </si>
  <si>
    <t xml:space="preserve">If an unsupported OS stays in service, then unpatched flaws could be exploited, resulting in compromise of billing data.</t>
  </si>
  <si>
    <t xml:space="preserve">Technology</t>
  </si>
  <si>
    <t xml:space="preserve">Legacy on-prem billing server</t>
  </si>
  <si>
    <t xml:space="preserve">A.8.8, A.8.9 / ID.AM</t>
  </si>
  <si>
    <t xml:space="preserve">Avoid</t>
  </si>
  <si>
    <t xml:space="preserve">Migrate billing workload to supported cloud platform and decommission server.</t>
  </si>
  <si>
    <t xml:space="preserve">R-012</t>
  </si>
  <si>
    <t xml:space="preserve">If cyber insurance limits are below realistic loss, then a major breach could exceed coverage, resulting in uninsured financial loss.</t>
  </si>
  <si>
    <t xml:space="preserve">Financial</t>
  </si>
  <si>
    <t xml:space="preserve">Cyber liability coverage</t>
  </si>
  <si>
    <t xml:space="preserve">GV.RM</t>
  </si>
  <si>
    <t xml:space="preserve">Transfer</t>
  </si>
  <si>
    <t xml:space="preserve">Review coverage limits against breach cost modeling; renew policy with adequate limits.</t>
  </si>
  <si>
    <t xml:space="preserve">CFO</t>
  </si>
  <si>
    <t xml:space="preserve">R-013</t>
  </si>
  <si>
    <t xml:space="preserve">If secrets are stored in code repositories, then leaked keys could grant cloud access, resulting in unauthorized resource use or data exposure.</t>
  </si>
  <si>
    <t xml:space="preserve">Developer tools and CI/CD</t>
  </si>
  <si>
    <t xml:space="preserve">A.8.4, A.8.24 / PR.DS</t>
  </si>
  <si>
    <t xml:space="preserve">Deploy secret scanning in pipelines; move secrets to a vault; rotate exposed keys.</t>
  </si>
  <si>
    <t xml:space="preserve">DevSecOps Lead</t>
  </si>
  <si>
    <t xml:space="preserve">R-014</t>
  </si>
  <si>
    <t xml:space="preserve">If physical access controls are weak, then unauthorized entry could occur, resulting in equipment theft or tampering.</t>
  </si>
  <si>
    <t xml:space="preserve">Physical</t>
  </si>
  <si>
    <t xml:space="preserve">Office server closet</t>
  </si>
  <si>
    <t xml:space="preserve">A.7.2, A.7.4 / PR.AA</t>
  </si>
  <si>
    <t xml:space="preserve">Accept</t>
  </si>
  <si>
    <t xml:space="preserve">Accept with existing badge access and CCTV; review access list annually.</t>
  </si>
  <si>
    <t xml:space="preserve">Facilities Manager</t>
  </si>
  <si>
    <t xml:space="preserve">Accepted</t>
  </si>
  <si>
    <t xml:space="preserve">Assumptions: scores are illustrative judgments for a fictional company; control references map to ISO/IEC 27001:2022 Annex A and NIST CSF 2.0 functions; owners are roles, not named people.</t>
  </si>
  <si>
    <t xml:space="preserve">Scoring Criteria &amp; Risk Appetite</t>
  </si>
  <si>
    <t xml:space="preserve">Score = Likelihood x Impact (1-25). Thresholds below drive the Rating column on the Risk Register.</t>
  </si>
  <si>
    <t xml:space="preserve">Score</t>
  </si>
  <si>
    <t xml:space="preserve">Likelihood</t>
  </si>
  <si>
    <t xml:space="preserve">Impact</t>
  </si>
  <si>
    <t xml:space="preserve">Rare: &lt;5% chance in 12 months</t>
  </si>
  <si>
    <t xml:space="preserve">Negligible: no customer impact, &lt;$10K loss</t>
  </si>
  <si>
    <t xml:space="preserve">Unlikely: 5-20%</t>
  </si>
  <si>
    <t xml:space="preserve">Minor: limited internal disruption, $10K-$50K</t>
  </si>
  <si>
    <t xml:space="preserve">Possible: 20-50%</t>
  </si>
  <si>
    <t xml:space="preserve">Moderate: some customer impact, minor regulatory notice, $50K-$250K</t>
  </si>
  <si>
    <t xml:space="preserve">Likely: 50-80%</t>
  </si>
  <si>
    <t xml:space="preserve">Major: significant outage or data exposure, regulatory action, $250K-$1M</t>
  </si>
  <si>
    <t xml:space="preserve">Almost certain: &gt;80%</t>
  </si>
  <si>
    <t xml:space="preserve">Severe: large breach, loss of key customers or license, &gt;$1M</t>
  </si>
  <si>
    <t xml:space="preserve">Rating Thresholds (editable inputs)</t>
  </si>
  <si>
    <t xml:space="preserve">Rating</t>
  </si>
  <si>
    <t xml:space="preserve">Minimum Score</t>
  </si>
  <si>
    <t xml:space="preserve">Required Action</t>
  </si>
  <si>
    <t xml:space="preserve">Critical</t>
  </si>
  <si>
    <t xml:space="preserve">Escalate to executive leadership; treat immediately</t>
  </si>
  <si>
    <t xml:space="preserve">High</t>
  </si>
  <si>
    <t xml:space="preserve">Treatment plan required within 30 days; monthly review</t>
  </si>
  <si>
    <t xml:space="preserve">Medium</t>
  </si>
  <si>
    <t xml:space="preserve">Treatment plan within 90 days; quarterly review</t>
  </si>
  <si>
    <t xml:space="preserve">Low</t>
  </si>
  <si>
    <t xml:space="preserve">Accept and monitor; annual review</t>
  </si>
  <si>
    <t xml:space="preserve">Note: scales and thresholds are illustrative assumptions for this sample, loosely modeled on common NIST SP 800-30 / ISO 27005 practice. Blue = editable input.</t>
  </si>
  <si>
    <t xml:space="preserve">Inherent Risk Heat Map (count of risks)</t>
  </si>
  <si>
    <t xml:space="preserve">Counts update automatically from the Risk Register.</t>
  </si>
  <si>
    <t xml:space="preserve">Likelihood \ Impact</t>
  </si>
  <si>
    <t xml:space="preserve">Summary by Rating</t>
  </si>
  <si>
    <t xml:space="preserve">Inherent</t>
  </si>
  <si>
    <t xml:space="preserve">Residual</t>
  </si>
  <si>
    <t xml:space="preserve">Total</t>
  </si>
  <si>
    <t xml:space="preserve">Average Score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</si>
</sst>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BFBFBF"/>
      </patternFill>
    </fill>
    <fill>
      <patternFill patternType="solid">
        <fgColor rgb="FFFFE699"/>
        <bgColor rgb="FFFFFFCC"/>
      </patternFill>
    </fill>
    <fill>
      <patternFill patternType="solid">
        <fgColor rgb="FFF4B084"/>
        <bgColor rgb="FFFF99CC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4B084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52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26"/>
    <col collapsed="false" customWidth="true" hidden="false" outlineLevel="0" max="10" min="10" style="1" width="12"/>
    <col collapsed="false" customWidth="true" hidden="false" outlineLevel="0" max="11" min="11" style="1" width="48"/>
    <col collapsed="false" customWidth="true" hidden="false" outlineLevel="0" max="12" min="12" style="1" width="22"/>
    <col collapsed="false" customWidth="true" hidden="false" outlineLevel="0" max="14" min="13" style="1" width="12"/>
    <col collapsed="false" customWidth="true" hidden="false" outlineLevel="0" max="15" min="15" style="1" width="11"/>
    <col collapsed="false" customWidth="true" hidden="false" outlineLevel="0" max="17" min="16" style="1" width="10"/>
    <col collapsed="false" customWidth="true" hidden="false" outlineLevel="0" max="18" min="18" style="1" width="11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4" customFormat="false" ht="42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</row>
    <row r="5" customFormat="false" ht="34.5" hidden="false" customHeight="true" outlineLevel="0" collapsed="false">
      <c r="A5" s="6" t="s">
        <v>21</v>
      </c>
      <c r="B5" s="7" t="s">
        <v>22</v>
      </c>
      <c r="C5" s="7" t="s">
        <v>23</v>
      </c>
      <c r="D5" s="7" t="s">
        <v>24</v>
      </c>
      <c r="E5" s="8" t="n">
        <v>3</v>
      </c>
      <c r="F5" s="8" t="n">
        <v>5</v>
      </c>
      <c r="G5" s="6" t="n">
        <f aca="false">E5*F5</f>
        <v>15</v>
      </c>
      <c r="H5" s="6" t="str">
        <f aca="false">IF(G5&gt;='Scoring Criteria'!$B$13,"Critical",IF(G5&gt;='Scoring Criteria'!$B$14,"High",IF(G5&gt;='Scoring Criteria'!$B$15,"Medium","Low")))</f>
        <v>High</v>
      </c>
      <c r="I5" s="7" t="s">
        <v>25</v>
      </c>
      <c r="J5" s="6" t="s">
        <v>26</v>
      </c>
      <c r="K5" s="7" t="s">
        <v>27</v>
      </c>
      <c r="L5" s="7" t="s">
        <v>28</v>
      </c>
      <c r="M5" s="9" t="n">
        <v>46356</v>
      </c>
      <c r="N5" s="6" t="s">
        <v>29</v>
      </c>
      <c r="O5" s="8" t="n">
        <v>2</v>
      </c>
      <c r="P5" s="8" t="n">
        <v>5</v>
      </c>
      <c r="Q5" s="6" t="n">
        <f aca="false">O5*P5</f>
        <v>10</v>
      </c>
      <c r="R5" s="6" t="str">
        <f aca="false">IF(Q5&gt;='Scoring Criteria'!$B$13,"Critical",IF(Q5&gt;='Scoring Criteria'!$B$14,"High",IF(Q5&gt;='Scoring Criteria'!$B$15,"Medium","Low")))</f>
        <v>Medium</v>
      </c>
    </row>
    <row r="6" customFormat="false" ht="34.5" hidden="false" customHeight="true" outlineLevel="0" collapsed="false">
      <c r="A6" s="6" t="s">
        <v>30</v>
      </c>
      <c r="B6" s="7" t="s">
        <v>31</v>
      </c>
      <c r="C6" s="7" t="s">
        <v>32</v>
      </c>
      <c r="D6" s="7" t="s">
        <v>33</v>
      </c>
      <c r="E6" s="8" t="n">
        <v>4</v>
      </c>
      <c r="F6" s="8" t="n">
        <v>4</v>
      </c>
      <c r="G6" s="6" t="n">
        <f aca="false">E6*F6</f>
        <v>16</v>
      </c>
      <c r="H6" s="6" t="str">
        <f aca="false">IF(G6&gt;='Scoring Criteria'!$B$13,"Critical",IF(G6&gt;='Scoring Criteria'!$B$14,"High",IF(G6&gt;='Scoring Criteria'!$B$15,"Medium","Low")))</f>
        <v>High</v>
      </c>
      <c r="I6" s="7" t="s">
        <v>34</v>
      </c>
      <c r="J6" s="6" t="s">
        <v>26</v>
      </c>
      <c r="K6" s="7" t="s">
        <v>35</v>
      </c>
      <c r="L6" s="7" t="s">
        <v>36</v>
      </c>
      <c r="M6" s="9" t="n">
        <v>46371</v>
      </c>
      <c r="N6" s="6" t="s">
        <v>37</v>
      </c>
      <c r="O6" s="8" t="n">
        <v>3</v>
      </c>
      <c r="P6" s="8" t="n">
        <v>3</v>
      </c>
      <c r="Q6" s="6" t="n">
        <f aca="false">O6*P6</f>
        <v>9</v>
      </c>
      <c r="R6" s="6" t="str">
        <f aca="false">IF(Q6&gt;='Scoring Criteria'!$B$13,"Critical",IF(Q6&gt;='Scoring Criteria'!$B$14,"High",IF(Q6&gt;='Scoring Criteria'!$B$15,"Medium","Low")))</f>
        <v>Medium</v>
      </c>
    </row>
    <row r="7" customFormat="false" ht="34.5" hidden="false" customHeight="true" outlineLevel="0" collapsed="false">
      <c r="A7" s="6" t="s">
        <v>38</v>
      </c>
      <c r="B7" s="7" t="s">
        <v>39</v>
      </c>
      <c r="C7" s="7" t="s">
        <v>40</v>
      </c>
      <c r="D7" s="7" t="s">
        <v>41</v>
      </c>
      <c r="E7" s="8" t="n">
        <v>3</v>
      </c>
      <c r="F7" s="8" t="n">
        <v>5</v>
      </c>
      <c r="G7" s="6" t="n">
        <f aca="false">E7*F7</f>
        <v>15</v>
      </c>
      <c r="H7" s="6" t="str">
        <f aca="false">IF(G7&gt;='Scoring Criteria'!$B$13,"Critical",IF(G7&gt;='Scoring Criteria'!$B$14,"High",IF(G7&gt;='Scoring Criteria'!$B$15,"Medium","Low")))</f>
        <v>High</v>
      </c>
      <c r="I7" s="7" t="s">
        <v>42</v>
      </c>
      <c r="J7" s="6" t="s">
        <v>26</v>
      </c>
      <c r="K7" s="7" t="s">
        <v>43</v>
      </c>
      <c r="L7" s="7" t="s">
        <v>44</v>
      </c>
      <c r="M7" s="9" t="n">
        <v>46341</v>
      </c>
      <c r="N7" s="6" t="s">
        <v>29</v>
      </c>
      <c r="O7" s="8" t="n">
        <v>2</v>
      </c>
      <c r="P7" s="8" t="n">
        <v>4</v>
      </c>
      <c r="Q7" s="6" t="n">
        <f aca="false">O7*P7</f>
        <v>8</v>
      </c>
      <c r="R7" s="6" t="str">
        <f aca="false">IF(Q7&gt;='Scoring Criteria'!$B$13,"Critical",IF(Q7&gt;='Scoring Criteria'!$B$14,"High",IF(Q7&gt;='Scoring Criteria'!$B$15,"Medium","Low")))</f>
        <v>Medium</v>
      </c>
    </row>
    <row r="8" customFormat="false" ht="34.5" hidden="false" customHeight="true" outlineLevel="0" collapsed="false">
      <c r="A8" s="6" t="s">
        <v>45</v>
      </c>
      <c r="B8" s="7" t="s">
        <v>46</v>
      </c>
      <c r="C8" s="7" t="s">
        <v>47</v>
      </c>
      <c r="D8" s="7" t="s">
        <v>48</v>
      </c>
      <c r="E8" s="8" t="n">
        <v>3</v>
      </c>
      <c r="F8" s="8" t="n">
        <v>4</v>
      </c>
      <c r="G8" s="6" t="n">
        <f aca="false">E8*F8</f>
        <v>12</v>
      </c>
      <c r="H8" s="6" t="str">
        <f aca="false">IF(G8&gt;='Scoring Criteria'!$B$13,"Critical",IF(G8&gt;='Scoring Criteria'!$B$14,"High",IF(G8&gt;='Scoring Criteria'!$B$15,"Medium","Low")))</f>
        <v>High</v>
      </c>
      <c r="I8" s="7" t="s">
        <v>49</v>
      </c>
      <c r="J8" s="6" t="s">
        <v>26</v>
      </c>
      <c r="K8" s="7" t="s">
        <v>50</v>
      </c>
      <c r="L8" s="7" t="s">
        <v>51</v>
      </c>
      <c r="M8" s="9" t="n">
        <v>46326</v>
      </c>
      <c r="N8" s="6" t="s">
        <v>37</v>
      </c>
      <c r="O8" s="8" t="n">
        <v>2</v>
      </c>
      <c r="P8" s="8" t="n">
        <v>3</v>
      </c>
      <c r="Q8" s="6" t="n">
        <f aca="false">O8*P8</f>
        <v>6</v>
      </c>
      <c r="R8" s="6" t="str">
        <f aca="false">IF(Q8&gt;='Scoring Criteria'!$B$13,"Critical",IF(Q8&gt;='Scoring Criteria'!$B$14,"High",IF(Q8&gt;='Scoring Criteria'!$B$15,"Medium","Low")))</f>
        <v>Medium</v>
      </c>
    </row>
    <row r="9" customFormat="false" ht="23.25" hidden="false" customHeight="true" outlineLevel="0" collapsed="false">
      <c r="A9" s="6" t="s">
        <v>52</v>
      </c>
      <c r="B9" s="7" t="s">
        <v>53</v>
      </c>
      <c r="C9" s="7" t="s">
        <v>23</v>
      </c>
      <c r="D9" s="7" t="s">
        <v>54</v>
      </c>
      <c r="E9" s="8" t="n">
        <v>4</v>
      </c>
      <c r="F9" s="8" t="n">
        <v>3</v>
      </c>
      <c r="G9" s="6" t="n">
        <f aca="false">E9*F9</f>
        <v>12</v>
      </c>
      <c r="H9" s="6" t="str">
        <f aca="false">IF(G9&gt;='Scoring Criteria'!$B$13,"Critical",IF(G9&gt;='Scoring Criteria'!$B$14,"High",IF(G9&gt;='Scoring Criteria'!$B$15,"Medium","Low")))</f>
        <v>High</v>
      </c>
      <c r="I9" s="7" t="s">
        <v>55</v>
      </c>
      <c r="J9" s="6" t="s">
        <v>26</v>
      </c>
      <c r="K9" s="7" t="s">
        <v>56</v>
      </c>
      <c r="L9" s="7" t="s">
        <v>57</v>
      </c>
      <c r="M9" s="9" t="n">
        <v>46387</v>
      </c>
      <c r="N9" s="6" t="s">
        <v>29</v>
      </c>
      <c r="O9" s="8" t="n">
        <v>3</v>
      </c>
      <c r="P9" s="8" t="n">
        <v>2</v>
      </c>
      <c r="Q9" s="6" t="n">
        <f aca="false">O9*P9</f>
        <v>6</v>
      </c>
      <c r="R9" s="6" t="str">
        <f aca="false">IF(Q9&gt;='Scoring Criteria'!$B$13,"Critical",IF(Q9&gt;='Scoring Criteria'!$B$14,"High",IF(Q9&gt;='Scoring Criteria'!$B$15,"Medium","Low")))</f>
        <v>Medium</v>
      </c>
    </row>
    <row r="10" customFormat="false" ht="23.25" hidden="false" customHeight="true" outlineLevel="0" collapsed="false">
      <c r="A10" s="6" t="s">
        <v>58</v>
      </c>
      <c r="B10" s="7" t="s">
        <v>59</v>
      </c>
      <c r="C10" s="7" t="s">
        <v>23</v>
      </c>
      <c r="D10" s="7" t="s">
        <v>60</v>
      </c>
      <c r="E10" s="8" t="n">
        <v>4</v>
      </c>
      <c r="F10" s="8" t="n">
        <v>4</v>
      </c>
      <c r="G10" s="6" t="n">
        <f aca="false">E10*F10</f>
        <v>16</v>
      </c>
      <c r="H10" s="6" t="str">
        <f aca="false">IF(G10&gt;='Scoring Criteria'!$B$13,"Critical",IF(G10&gt;='Scoring Criteria'!$B$14,"High",IF(G10&gt;='Scoring Criteria'!$B$15,"Medium","Low")))</f>
        <v>High</v>
      </c>
      <c r="I10" s="7" t="s">
        <v>61</v>
      </c>
      <c r="J10" s="6" t="s">
        <v>26</v>
      </c>
      <c r="K10" s="7" t="s">
        <v>62</v>
      </c>
      <c r="L10" s="7" t="s">
        <v>63</v>
      </c>
      <c r="M10" s="9" t="n">
        <v>46346</v>
      </c>
      <c r="N10" s="6" t="s">
        <v>29</v>
      </c>
      <c r="O10" s="8" t="n">
        <v>2</v>
      </c>
      <c r="P10" s="8" t="n">
        <v>4</v>
      </c>
      <c r="Q10" s="6" t="n">
        <f aca="false">O10*P10</f>
        <v>8</v>
      </c>
      <c r="R10" s="6" t="str">
        <f aca="false">IF(Q10&gt;='Scoring Criteria'!$B$13,"Critical",IF(Q10&gt;='Scoring Criteria'!$B$14,"High",IF(Q10&gt;='Scoring Criteria'!$B$15,"Medium","Low")))</f>
        <v>Medium</v>
      </c>
    </row>
    <row r="11" customFormat="false" ht="34.5" hidden="false" customHeight="true" outlineLevel="0" collapsed="false">
      <c r="A11" s="6" t="s">
        <v>64</v>
      </c>
      <c r="B11" s="7" t="s">
        <v>65</v>
      </c>
      <c r="C11" s="7" t="s">
        <v>66</v>
      </c>
      <c r="D11" s="7" t="s">
        <v>67</v>
      </c>
      <c r="E11" s="8" t="n">
        <v>3</v>
      </c>
      <c r="F11" s="8" t="n">
        <v>3</v>
      </c>
      <c r="G11" s="6" t="n">
        <f aca="false">E11*F11</f>
        <v>9</v>
      </c>
      <c r="H11" s="6" t="str">
        <f aca="false">IF(G11&gt;='Scoring Criteria'!$B$13,"Critical",IF(G11&gt;='Scoring Criteria'!$B$14,"High",IF(G11&gt;='Scoring Criteria'!$B$15,"Medium","Low")))</f>
        <v>Medium</v>
      </c>
      <c r="I11" s="7" t="s">
        <v>68</v>
      </c>
      <c r="J11" s="6" t="s">
        <v>26</v>
      </c>
      <c r="K11" s="7" t="s">
        <v>69</v>
      </c>
      <c r="L11" s="7" t="s">
        <v>70</v>
      </c>
      <c r="M11" s="9" t="n">
        <v>46418</v>
      </c>
      <c r="N11" s="6" t="s">
        <v>37</v>
      </c>
      <c r="O11" s="8" t="n">
        <v>2</v>
      </c>
      <c r="P11" s="8" t="n">
        <v>2</v>
      </c>
      <c r="Q11" s="6" t="n">
        <f aca="false">O11*P11</f>
        <v>4</v>
      </c>
      <c r="R11" s="6" t="str">
        <f aca="false">IF(Q11&gt;='Scoring Criteria'!$B$13,"Critical",IF(Q11&gt;='Scoring Criteria'!$B$14,"High",IF(Q11&gt;='Scoring Criteria'!$B$15,"Medium","Low")))</f>
        <v>Low</v>
      </c>
    </row>
    <row r="12" customFormat="false" ht="34.5" hidden="false" customHeight="true" outlineLevel="0" collapsed="false">
      <c r="A12" s="6" t="s">
        <v>71</v>
      </c>
      <c r="B12" s="7" t="s">
        <v>72</v>
      </c>
      <c r="C12" s="7" t="s">
        <v>73</v>
      </c>
      <c r="D12" s="7" t="s">
        <v>74</v>
      </c>
      <c r="E12" s="8" t="n">
        <v>2</v>
      </c>
      <c r="F12" s="8" t="n">
        <v>5</v>
      </c>
      <c r="G12" s="6" t="n">
        <f aca="false">E12*F12</f>
        <v>10</v>
      </c>
      <c r="H12" s="6" t="str">
        <f aca="false">IF(G12&gt;='Scoring Criteria'!$B$13,"Critical",IF(G12&gt;='Scoring Criteria'!$B$14,"High",IF(G12&gt;='Scoring Criteria'!$B$15,"Medium","Low")))</f>
        <v>Medium</v>
      </c>
      <c r="I12" s="7" t="s">
        <v>75</v>
      </c>
      <c r="J12" s="6" t="s">
        <v>26</v>
      </c>
      <c r="K12" s="7" t="s">
        <v>76</v>
      </c>
      <c r="L12" s="7" t="s">
        <v>77</v>
      </c>
      <c r="M12" s="9" t="n">
        <v>46446</v>
      </c>
      <c r="N12" s="6" t="s">
        <v>37</v>
      </c>
      <c r="O12" s="8" t="n">
        <v>1</v>
      </c>
      <c r="P12" s="8" t="n">
        <v>4</v>
      </c>
      <c r="Q12" s="6" t="n">
        <f aca="false">O12*P12</f>
        <v>4</v>
      </c>
      <c r="R12" s="6" t="str">
        <f aca="false">IF(Q12&gt;='Scoring Criteria'!$B$13,"Critical",IF(Q12&gt;='Scoring Criteria'!$B$14,"High",IF(Q12&gt;='Scoring Criteria'!$B$15,"Medium","Low")))</f>
        <v>Low</v>
      </c>
    </row>
    <row r="13" customFormat="false" ht="23.25" hidden="false" customHeight="true" outlineLevel="0" collapsed="false">
      <c r="A13" s="6" t="s">
        <v>78</v>
      </c>
      <c r="B13" s="7" t="s">
        <v>79</v>
      </c>
      <c r="C13" s="7" t="s">
        <v>80</v>
      </c>
      <c r="D13" s="7" t="s">
        <v>81</v>
      </c>
      <c r="E13" s="8" t="n">
        <v>3</v>
      </c>
      <c r="F13" s="8" t="n">
        <v>4</v>
      </c>
      <c r="G13" s="6" t="n">
        <f aca="false">E13*F13</f>
        <v>12</v>
      </c>
      <c r="H13" s="6" t="str">
        <f aca="false">IF(G13&gt;='Scoring Criteria'!$B$13,"Critical",IF(G13&gt;='Scoring Criteria'!$B$14,"High",IF(G13&gt;='Scoring Criteria'!$B$15,"Medium","Low")))</f>
        <v>High</v>
      </c>
      <c r="I13" s="7" t="s">
        <v>82</v>
      </c>
      <c r="J13" s="6" t="s">
        <v>26</v>
      </c>
      <c r="K13" s="7" t="s">
        <v>83</v>
      </c>
      <c r="L13" s="7" t="s">
        <v>84</v>
      </c>
      <c r="M13" s="9" t="n">
        <v>46336</v>
      </c>
      <c r="N13" s="6" t="s">
        <v>29</v>
      </c>
      <c r="O13" s="8" t="n">
        <v>1</v>
      </c>
      <c r="P13" s="8" t="n">
        <v>4</v>
      </c>
      <c r="Q13" s="6" t="n">
        <f aca="false">O13*P13</f>
        <v>4</v>
      </c>
      <c r="R13" s="6" t="str">
        <f aca="false">IF(Q13&gt;='Scoring Criteria'!$B$13,"Critical",IF(Q13&gt;='Scoring Criteria'!$B$14,"High",IF(Q13&gt;='Scoring Criteria'!$B$15,"Medium","Low")))</f>
        <v>Low</v>
      </c>
    </row>
    <row r="14" customFormat="false" ht="34.5" hidden="false" customHeight="true" outlineLevel="0" collapsed="false">
      <c r="A14" s="6" t="s">
        <v>85</v>
      </c>
      <c r="B14" s="7" t="s">
        <v>86</v>
      </c>
      <c r="C14" s="7" t="s">
        <v>23</v>
      </c>
      <c r="D14" s="7" t="s">
        <v>87</v>
      </c>
      <c r="E14" s="8" t="n">
        <v>3</v>
      </c>
      <c r="F14" s="8" t="n">
        <v>4</v>
      </c>
      <c r="G14" s="6" t="n">
        <f aca="false">E14*F14</f>
        <v>12</v>
      </c>
      <c r="H14" s="6" t="str">
        <f aca="false">IF(G14&gt;='Scoring Criteria'!$B$13,"Critical",IF(G14&gt;='Scoring Criteria'!$B$14,"High",IF(G14&gt;='Scoring Criteria'!$B$15,"Medium","Low")))</f>
        <v>High</v>
      </c>
      <c r="I14" s="7" t="s">
        <v>88</v>
      </c>
      <c r="J14" s="6" t="s">
        <v>26</v>
      </c>
      <c r="K14" s="7" t="s">
        <v>89</v>
      </c>
      <c r="L14" s="7" t="s">
        <v>28</v>
      </c>
      <c r="M14" s="9" t="n">
        <v>46366</v>
      </c>
      <c r="N14" s="6" t="s">
        <v>37</v>
      </c>
      <c r="O14" s="8" t="n">
        <v>2</v>
      </c>
      <c r="P14" s="8" t="n">
        <v>3</v>
      </c>
      <c r="Q14" s="6" t="n">
        <f aca="false">O14*P14</f>
        <v>6</v>
      </c>
      <c r="R14" s="6" t="str">
        <f aca="false">IF(Q14&gt;='Scoring Criteria'!$B$13,"Critical",IF(Q14&gt;='Scoring Criteria'!$B$14,"High",IF(Q14&gt;='Scoring Criteria'!$B$15,"Medium","Low")))</f>
        <v>Medium</v>
      </c>
    </row>
    <row r="15" customFormat="false" ht="23.25" hidden="false" customHeight="true" outlineLevel="0" collapsed="false">
      <c r="A15" s="6" t="s">
        <v>90</v>
      </c>
      <c r="B15" s="7" t="s">
        <v>91</v>
      </c>
      <c r="C15" s="7" t="s">
        <v>92</v>
      </c>
      <c r="D15" s="7" t="s">
        <v>93</v>
      </c>
      <c r="E15" s="8" t="n">
        <v>4</v>
      </c>
      <c r="F15" s="8" t="n">
        <v>3</v>
      </c>
      <c r="G15" s="6" t="n">
        <f aca="false">E15*F15</f>
        <v>12</v>
      </c>
      <c r="H15" s="6" t="str">
        <f aca="false">IF(G15&gt;='Scoring Criteria'!$B$13,"Critical",IF(G15&gt;='Scoring Criteria'!$B$14,"High",IF(G15&gt;='Scoring Criteria'!$B$15,"Medium","Low")))</f>
        <v>High</v>
      </c>
      <c r="I15" s="7" t="s">
        <v>94</v>
      </c>
      <c r="J15" s="6" t="s">
        <v>95</v>
      </c>
      <c r="K15" s="7" t="s">
        <v>96</v>
      </c>
      <c r="L15" s="7" t="s">
        <v>63</v>
      </c>
      <c r="M15" s="9" t="n">
        <v>46477</v>
      </c>
      <c r="N15" s="6" t="s">
        <v>37</v>
      </c>
      <c r="O15" s="8" t="n">
        <v>1</v>
      </c>
      <c r="P15" s="8" t="n">
        <v>3</v>
      </c>
      <c r="Q15" s="6" t="n">
        <f aca="false">O15*P15</f>
        <v>3</v>
      </c>
      <c r="R15" s="6" t="str">
        <f aca="false">IF(Q15&gt;='Scoring Criteria'!$B$13,"Critical",IF(Q15&gt;='Scoring Criteria'!$B$14,"High",IF(Q15&gt;='Scoring Criteria'!$B$15,"Medium","Low")))</f>
        <v>Low</v>
      </c>
    </row>
    <row r="16" customFormat="false" ht="34.5" hidden="false" customHeight="true" outlineLevel="0" collapsed="false">
      <c r="A16" s="6" t="s">
        <v>97</v>
      </c>
      <c r="B16" s="7" t="s">
        <v>98</v>
      </c>
      <c r="C16" s="7" t="s">
        <v>99</v>
      </c>
      <c r="D16" s="7" t="s">
        <v>100</v>
      </c>
      <c r="E16" s="8" t="n">
        <v>2</v>
      </c>
      <c r="F16" s="8" t="n">
        <v>4</v>
      </c>
      <c r="G16" s="6" t="n">
        <f aca="false">E16*F16</f>
        <v>8</v>
      </c>
      <c r="H16" s="6" t="str">
        <f aca="false">IF(G16&gt;='Scoring Criteria'!$B$13,"Critical",IF(G16&gt;='Scoring Criteria'!$B$14,"High",IF(G16&gt;='Scoring Criteria'!$B$15,"Medium","Low")))</f>
        <v>Medium</v>
      </c>
      <c r="I16" s="7" t="s">
        <v>101</v>
      </c>
      <c r="J16" s="6" t="s">
        <v>102</v>
      </c>
      <c r="K16" s="7" t="s">
        <v>103</v>
      </c>
      <c r="L16" s="7" t="s">
        <v>104</v>
      </c>
      <c r="M16" s="9" t="n">
        <v>46387</v>
      </c>
      <c r="N16" s="6" t="s">
        <v>37</v>
      </c>
      <c r="O16" s="8" t="n">
        <v>2</v>
      </c>
      <c r="P16" s="8" t="n">
        <v>3</v>
      </c>
      <c r="Q16" s="6" t="n">
        <f aca="false">O16*P16</f>
        <v>6</v>
      </c>
      <c r="R16" s="6" t="str">
        <f aca="false">IF(Q16&gt;='Scoring Criteria'!$B$13,"Critical",IF(Q16&gt;='Scoring Criteria'!$B$14,"High",IF(Q16&gt;='Scoring Criteria'!$B$15,"Medium","Low")))</f>
        <v>Medium</v>
      </c>
    </row>
    <row r="17" customFormat="false" ht="34.5" hidden="false" customHeight="true" outlineLevel="0" collapsed="false">
      <c r="A17" s="6" t="s">
        <v>105</v>
      </c>
      <c r="B17" s="7" t="s">
        <v>106</v>
      </c>
      <c r="C17" s="7" t="s">
        <v>23</v>
      </c>
      <c r="D17" s="7" t="s">
        <v>107</v>
      </c>
      <c r="E17" s="8" t="n">
        <v>3</v>
      </c>
      <c r="F17" s="8" t="n">
        <v>4</v>
      </c>
      <c r="G17" s="6" t="n">
        <f aca="false">E17*F17</f>
        <v>12</v>
      </c>
      <c r="H17" s="6" t="str">
        <f aca="false">IF(G17&gt;='Scoring Criteria'!$B$13,"Critical",IF(G17&gt;='Scoring Criteria'!$B$14,"High",IF(G17&gt;='Scoring Criteria'!$B$15,"Medium","Low")))</f>
        <v>High</v>
      </c>
      <c r="I17" s="7" t="s">
        <v>108</v>
      </c>
      <c r="J17" s="6" t="s">
        <v>26</v>
      </c>
      <c r="K17" s="7" t="s">
        <v>109</v>
      </c>
      <c r="L17" s="7" t="s">
        <v>110</v>
      </c>
      <c r="M17" s="9" t="n">
        <v>46351</v>
      </c>
      <c r="N17" s="6" t="s">
        <v>29</v>
      </c>
      <c r="O17" s="8" t="n">
        <v>1</v>
      </c>
      <c r="P17" s="8" t="n">
        <v>4</v>
      </c>
      <c r="Q17" s="6" t="n">
        <f aca="false">O17*P17</f>
        <v>4</v>
      </c>
      <c r="R17" s="6" t="str">
        <f aca="false">IF(Q17&gt;='Scoring Criteria'!$B$13,"Critical",IF(Q17&gt;='Scoring Criteria'!$B$14,"High",IF(Q17&gt;='Scoring Criteria'!$B$15,"Medium","Low")))</f>
        <v>Low</v>
      </c>
    </row>
    <row r="18" customFormat="false" ht="23.25" hidden="false" customHeight="true" outlineLevel="0" collapsed="false">
      <c r="A18" s="6" t="s">
        <v>111</v>
      </c>
      <c r="B18" s="7" t="s">
        <v>112</v>
      </c>
      <c r="C18" s="7" t="s">
        <v>113</v>
      </c>
      <c r="D18" s="7" t="s">
        <v>114</v>
      </c>
      <c r="E18" s="8" t="n">
        <v>2</v>
      </c>
      <c r="F18" s="8" t="n">
        <v>3</v>
      </c>
      <c r="G18" s="6" t="n">
        <f aca="false">E18*F18</f>
        <v>6</v>
      </c>
      <c r="H18" s="6" t="str">
        <f aca="false">IF(G18&gt;='Scoring Criteria'!$B$13,"Critical",IF(G18&gt;='Scoring Criteria'!$B$14,"High",IF(G18&gt;='Scoring Criteria'!$B$15,"Medium","Low")))</f>
        <v>Medium</v>
      </c>
      <c r="I18" s="7" t="s">
        <v>115</v>
      </c>
      <c r="J18" s="6" t="s">
        <v>116</v>
      </c>
      <c r="K18" s="7" t="s">
        <v>117</v>
      </c>
      <c r="L18" s="7" t="s">
        <v>118</v>
      </c>
      <c r="M18" s="9" t="n">
        <v>46568</v>
      </c>
      <c r="N18" s="6" t="s">
        <v>119</v>
      </c>
      <c r="O18" s="8" t="n">
        <v>2</v>
      </c>
      <c r="P18" s="8" t="n">
        <v>3</v>
      </c>
      <c r="Q18" s="6" t="n">
        <f aca="false">O18*P18</f>
        <v>6</v>
      </c>
      <c r="R18" s="6" t="str">
        <f aca="false">IF(Q18&gt;='Scoring Criteria'!$B$13,"Critical",IF(Q18&gt;='Scoring Criteria'!$B$14,"High",IF(Q18&gt;='Scoring Criteria'!$B$15,"Medium","Low")))</f>
        <v>Medium</v>
      </c>
    </row>
    <row r="20" customFormat="false" ht="15" hidden="false" customHeight="true" outlineLevel="0" collapsed="false">
      <c r="A20" s="3" t="s">
        <v>120</v>
      </c>
    </row>
  </sheetData>
  <autoFilter ref="A4:R18"/>
  <conditionalFormatting sqref="H5:H18">
    <cfRule type="cellIs" priority="2" operator="equal" aboveAverage="0" equalAverage="0" bottom="0" percent="0" rank="0" text="" dxfId="8">
      <formula>"Critical"</formula>
    </cfRule>
    <cfRule type="cellIs" priority="3" operator="equal" aboveAverage="0" equalAverage="0" bottom="0" percent="0" rank="0" text="" dxfId="9">
      <formula>"High"</formula>
    </cfRule>
    <cfRule type="cellIs" priority="4" operator="equal" aboveAverage="0" equalAverage="0" bottom="0" percent="0" rank="0" text="" dxfId="10">
      <formula>"Medium"</formula>
    </cfRule>
    <cfRule type="cellIs" priority="5" operator="equal" aboveAverage="0" equalAverage="0" bottom="0" percent="0" rank="0" text="" dxfId="11">
      <formula>"Low"</formula>
    </cfRule>
  </conditionalFormatting>
  <conditionalFormatting sqref="R5:R18">
    <cfRule type="cellIs" priority="6" operator="equal" aboveAverage="0" equalAverage="0" bottom="0" percent="0" rank="0" text="" dxfId="8">
      <formula>"Critical"</formula>
    </cfRule>
    <cfRule type="cellIs" priority="7" operator="equal" aboveAverage="0" equalAverage="0" bottom="0" percent="0" rank="0" text="" dxfId="9">
      <formula>"High"</formula>
    </cfRule>
    <cfRule type="cellIs" priority="8" operator="equal" aboveAverage="0" equalAverage="0" bottom="0" percent="0" rank="0" text="" dxfId="10">
      <formula>"Medium"</formula>
    </cfRule>
    <cfRule type="cellIs" priority="9" operator="equal" aboveAverage="0" equalAverage="0" bottom="0" percent="0" rank="0" text="" dxfId="11">
      <formula>"Low"</formula>
    </cfRule>
  </conditionalFormatting>
  <dataValidations count="3">
    <dataValidation allowBlank="true" errorStyle="stop" operator="between" showDropDown="false" showErrorMessage="false" showInputMessage="false" sqref="J5:J18" type="list">
      <formula1>"Mitigate,Avoid,Transfer,Accept"</formula1>
      <formula2>0</formula2>
    </dataValidation>
    <dataValidation allowBlank="true" errorStyle="stop" operator="between" showDropDown="false" showErrorMessage="false" showInputMessage="false" sqref="N5:N18" type="list">
      <formula1>"Open,In Progress,Accepted,Closed"</formula1>
      <formula2>0</formula2>
    </dataValidation>
    <dataValidation allowBlank="false" errorStyle="stop" operator="between" showDropDown="false" showErrorMessage="false" showInputMessage="false" sqref="E5:F18 O5:P18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&amp;C&amp;9 © Hina Qurashee - Confidential Portfolio Sample</oddHeader>
    <oddFooter>&amp;C&amp;8 © 2026 Hina Qurashee. All rights reserved.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2"/>
    <col collapsed="false" customWidth="true" hidden="false" outlineLevel="0" max="3" min="3" style="1" width="62"/>
  </cols>
  <sheetData>
    <row r="1" customFormat="false" ht="17.25" hidden="false" customHeight="true" outlineLevel="0" collapsed="false">
      <c r="A1" s="2" t="s">
        <v>121</v>
      </c>
    </row>
    <row r="2" customFormat="false" ht="15" hidden="false" customHeight="true" outlineLevel="0" collapsed="false">
      <c r="A2" s="10" t="s">
        <v>122</v>
      </c>
    </row>
    <row r="4" customFormat="false" ht="15" hidden="false" customHeight="true" outlineLevel="0" collapsed="false">
      <c r="A4" s="11" t="s">
        <v>123</v>
      </c>
      <c r="B4" s="11" t="s">
        <v>124</v>
      </c>
      <c r="C4" s="11" t="s">
        <v>125</v>
      </c>
    </row>
    <row r="5" customFormat="false" ht="15" hidden="false" customHeight="true" outlineLevel="0" collapsed="false">
      <c r="A5" s="7" t="n">
        <v>1</v>
      </c>
      <c r="B5" s="7" t="s">
        <v>126</v>
      </c>
      <c r="C5" s="7" t="s">
        <v>127</v>
      </c>
    </row>
    <row r="6" customFormat="false" ht="15" hidden="false" customHeight="true" outlineLevel="0" collapsed="false">
      <c r="A6" s="7" t="n">
        <v>2</v>
      </c>
      <c r="B6" s="7" t="s">
        <v>128</v>
      </c>
      <c r="C6" s="7" t="s">
        <v>129</v>
      </c>
    </row>
    <row r="7" customFormat="false" ht="15" hidden="false" customHeight="true" outlineLevel="0" collapsed="false">
      <c r="A7" s="7" t="n">
        <v>3</v>
      </c>
      <c r="B7" s="7" t="s">
        <v>130</v>
      </c>
      <c r="C7" s="7" t="s">
        <v>131</v>
      </c>
    </row>
    <row r="8" customFormat="false" ht="15" hidden="false" customHeight="true" outlineLevel="0" collapsed="false">
      <c r="A8" s="7" t="n">
        <v>4</v>
      </c>
      <c r="B8" s="7" t="s">
        <v>132</v>
      </c>
      <c r="C8" s="7" t="s">
        <v>133</v>
      </c>
    </row>
    <row r="9" customFormat="false" ht="15" hidden="false" customHeight="true" outlineLevel="0" collapsed="false">
      <c r="A9" s="7" t="n">
        <v>5</v>
      </c>
      <c r="B9" s="7" t="s">
        <v>134</v>
      </c>
      <c r="C9" s="7" t="s">
        <v>135</v>
      </c>
    </row>
    <row r="11" customFormat="false" ht="15" hidden="false" customHeight="true" outlineLevel="0" collapsed="false">
      <c r="A11" s="12" t="s">
        <v>136</v>
      </c>
    </row>
    <row r="12" customFormat="false" ht="15" hidden="false" customHeight="true" outlineLevel="0" collapsed="false">
      <c r="A12" s="13" t="s">
        <v>137</v>
      </c>
      <c r="B12" s="13" t="s">
        <v>138</v>
      </c>
      <c r="C12" s="13" t="s">
        <v>139</v>
      </c>
    </row>
    <row r="13" customFormat="false" ht="15" hidden="false" customHeight="true" outlineLevel="0" collapsed="false">
      <c r="A13" s="7" t="s">
        <v>140</v>
      </c>
      <c r="B13" s="14" t="n">
        <v>20</v>
      </c>
      <c r="C13" s="7" t="s">
        <v>141</v>
      </c>
    </row>
    <row r="14" customFormat="false" ht="15" hidden="false" customHeight="true" outlineLevel="0" collapsed="false">
      <c r="A14" s="7" t="s">
        <v>142</v>
      </c>
      <c r="B14" s="14" t="n">
        <v>12</v>
      </c>
      <c r="C14" s="7" t="s">
        <v>143</v>
      </c>
    </row>
    <row r="15" customFormat="false" ht="15" hidden="false" customHeight="true" outlineLevel="0" collapsed="false">
      <c r="A15" s="7" t="s">
        <v>144</v>
      </c>
      <c r="B15" s="14" t="n">
        <v>6</v>
      </c>
      <c r="C15" s="7" t="s">
        <v>145</v>
      </c>
    </row>
    <row r="16" customFormat="false" ht="15" hidden="false" customHeight="true" outlineLevel="0" collapsed="false">
      <c r="A16" s="7" t="s">
        <v>146</v>
      </c>
      <c r="B16" s="14" t="n">
        <v>1</v>
      </c>
      <c r="C16" s="7" t="s">
        <v>147</v>
      </c>
    </row>
    <row r="18" customFormat="false" ht="15" hidden="false" customHeight="true" outlineLevel="0" collapsed="false">
      <c r="A18" s="3" t="s">
        <v>148</v>
      </c>
    </row>
    <row r="20" customFormat="false" ht="15" hidden="false" customHeight="false" outlineLevel="0" collapsed="false">
      <c r="A20" s="4" t="s">
        <v>2</v>
      </c>
    </row>
  </sheetData>
  <printOptions headings="false" gridLines="fals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&amp;C&amp;9 © Hina Qurashee - Confidential Portfolio Sample</oddHeader>
    <oddFooter>&amp;C&amp;8 © 2026 Hina Qurashee. All rights reserved.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2"/>
  </cols>
  <sheetData>
    <row r="1" customFormat="false" ht="17.25" hidden="false" customHeight="true" outlineLevel="0" collapsed="false">
      <c r="A1" s="2" t="s">
        <v>149</v>
      </c>
    </row>
    <row r="2" customFormat="false" ht="15" hidden="false" customHeight="true" outlineLevel="0" collapsed="false">
      <c r="A2" s="3" t="s">
        <v>150</v>
      </c>
    </row>
    <row r="4" customFormat="false" ht="15" hidden="false" customHeight="true" outlineLevel="0" collapsed="false">
      <c r="A4" s="13" t="s">
        <v>151</v>
      </c>
      <c r="B4" s="15" t="n">
        <v>1</v>
      </c>
      <c r="C4" s="15" t="n">
        <v>2</v>
      </c>
      <c r="D4" s="15" t="n">
        <v>3</v>
      </c>
      <c r="E4" s="15" t="n">
        <v>4</v>
      </c>
      <c r="F4" s="15" t="n">
        <v>5</v>
      </c>
    </row>
    <row r="5" customFormat="false" ht="31.5" hidden="false" customHeight="true" outlineLevel="0" collapsed="false">
      <c r="A5" s="15" t="n">
        <v>5</v>
      </c>
      <c r="B5" s="16" t="n">
        <f aca="false">COUNTIFS('Risk Register'!$E$5:$E$18,$A5,'Risk Register'!$F$5:$F$18,B$4)</f>
        <v>0</v>
      </c>
      <c r="C5" s="17" t="n">
        <f aca="false">COUNTIFS('Risk Register'!$E$5:$E$18,$A5,'Risk Register'!$F$5:$F$18,C$4)</f>
        <v>0</v>
      </c>
      <c r="D5" s="18" t="n">
        <f aca="false">COUNTIFS('Risk Register'!$E$5:$E$18,$A5,'Risk Register'!$F$5:$F$18,D$4)</f>
        <v>0</v>
      </c>
      <c r="E5" s="19" t="n">
        <f aca="false">COUNTIFS('Risk Register'!$E$5:$E$18,$A5,'Risk Register'!$F$5:$F$18,E$4)</f>
        <v>0</v>
      </c>
      <c r="F5" s="19" t="n">
        <f aca="false">COUNTIFS('Risk Register'!$E$5:$E$18,$A5,'Risk Register'!$F$5:$F$18,F$4)</f>
        <v>0</v>
      </c>
    </row>
    <row r="6" customFormat="false" ht="31.5" hidden="false" customHeight="true" outlineLevel="0" collapsed="false">
      <c r="A6" s="15" t="n">
        <v>4</v>
      </c>
      <c r="B6" s="16" t="n">
        <f aca="false">COUNTIFS('Risk Register'!$E$5:$E$18,$A6,'Risk Register'!$F$5:$F$18,B$4)</f>
        <v>0</v>
      </c>
      <c r="C6" s="17" t="n">
        <f aca="false">COUNTIFS('Risk Register'!$E$5:$E$18,$A6,'Risk Register'!$F$5:$F$18,C$4)</f>
        <v>0</v>
      </c>
      <c r="D6" s="18" t="n">
        <f aca="false">COUNTIFS('Risk Register'!$E$5:$E$18,$A6,'Risk Register'!$F$5:$F$18,D$4)</f>
        <v>2</v>
      </c>
      <c r="E6" s="18" t="n">
        <f aca="false">COUNTIFS('Risk Register'!$E$5:$E$18,$A6,'Risk Register'!$F$5:$F$18,E$4)</f>
        <v>2</v>
      </c>
      <c r="F6" s="19" t="n">
        <f aca="false">COUNTIFS('Risk Register'!$E$5:$E$18,$A6,'Risk Register'!$F$5:$F$18,F$4)</f>
        <v>0</v>
      </c>
    </row>
    <row r="7" customFormat="false" ht="31.5" hidden="false" customHeight="true" outlineLevel="0" collapsed="false">
      <c r="A7" s="15" t="n">
        <v>3</v>
      </c>
      <c r="B7" s="16" t="n">
        <f aca="false">COUNTIFS('Risk Register'!$E$5:$E$18,$A7,'Risk Register'!$F$5:$F$18,B$4)</f>
        <v>0</v>
      </c>
      <c r="C7" s="17" t="n">
        <f aca="false">COUNTIFS('Risk Register'!$E$5:$E$18,$A7,'Risk Register'!$F$5:$F$18,C$4)</f>
        <v>0</v>
      </c>
      <c r="D7" s="17" t="n">
        <f aca="false">COUNTIFS('Risk Register'!$E$5:$E$18,$A7,'Risk Register'!$F$5:$F$18,D$4)</f>
        <v>1</v>
      </c>
      <c r="E7" s="18" t="n">
        <f aca="false">COUNTIFS('Risk Register'!$E$5:$E$18,$A7,'Risk Register'!$F$5:$F$18,E$4)</f>
        <v>4</v>
      </c>
      <c r="F7" s="18" t="n">
        <f aca="false">COUNTIFS('Risk Register'!$E$5:$E$18,$A7,'Risk Register'!$F$5:$F$18,F$4)</f>
        <v>2</v>
      </c>
    </row>
    <row r="8" customFormat="false" ht="31.5" hidden="false" customHeight="true" outlineLevel="0" collapsed="false">
      <c r="A8" s="15" t="n">
        <v>2</v>
      </c>
      <c r="B8" s="16" t="n">
        <f aca="false">COUNTIFS('Risk Register'!$E$5:$E$18,$A8,'Risk Register'!$F$5:$F$18,B$4)</f>
        <v>0</v>
      </c>
      <c r="C8" s="16" t="n">
        <f aca="false">COUNTIFS('Risk Register'!$E$5:$E$18,$A8,'Risk Register'!$F$5:$F$18,C$4)</f>
        <v>0</v>
      </c>
      <c r="D8" s="17" t="n">
        <f aca="false">COUNTIFS('Risk Register'!$E$5:$E$18,$A8,'Risk Register'!$F$5:$F$18,D$4)</f>
        <v>1</v>
      </c>
      <c r="E8" s="17" t="n">
        <f aca="false">COUNTIFS('Risk Register'!$E$5:$E$18,$A8,'Risk Register'!$F$5:$F$18,E$4)</f>
        <v>1</v>
      </c>
      <c r="F8" s="17" t="n">
        <f aca="false">COUNTIFS('Risk Register'!$E$5:$E$18,$A8,'Risk Register'!$F$5:$F$18,F$4)</f>
        <v>1</v>
      </c>
    </row>
    <row r="9" customFormat="false" ht="31.5" hidden="false" customHeight="true" outlineLevel="0" collapsed="false">
      <c r="A9" s="15" t="n">
        <v>1</v>
      </c>
      <c r="B9" s="16" t="n">
        <f aca="false">COUNTIFS('Risk Register'!$E$5:$E$18,$A9,'Risk Register'!$F$5:$F$18,B$4)</f>
        <v>0</v>
      </c>
      <c r="C9" s="16" t="n">
        <f aca="false">COUNTIFS('Risk Register'!$E$5:$E$18,$A9,'Risk Register'!$F$5:$F$18,C$4)</f>
        <v>0</v>
      </c>
      <c r="D9" s="16" t="n">
        <f aca="false">COUNTIFS('Risk Register'!$E$5:$E$18,$A9,'Risk Register'!$F$5:$F$18,D$4)</f>
        <v>0</v>
      </c>
      <c r="E9" s="16" t="n">
        <f aca="false">COUNTIFS('Risk Register'!$E$5:$E$18,$A9,'Risk Register'!$F$5:$F$18,E$4)</f>
        <v>0</v>
      </c>
      <c r="F9" s="16" t="n">
        <f aca="false">COUNTIFS('Risk Register'!$E$5:$E$18,$A9,'Risk Register'!$F$5:$F$18,F$4)</f>
        <v>0</v>
      </c>
    </row>
    <row r="11" customFormat="false" ht="15" hidden="false" customHeight="true" outlineLevel="0" collapsed="false">
      <c r="A11" s="12" t="s">
        <v>152</v>
      </c>
    </row>
    <row r="12" customFormat="false" ht="15" hidden="false" customHeight="true" outlineLevel="0" collapsed="false">
      <c r="A12" s="15" t="s">
        <v>137</v>
      </c>
      <c r="B12" s="15" t="s">
        <v>153</v>
      </c>
      <c r="C12" s="15" t="s">
        <v>154</v>
      </c>
    </row>
    <row r="13" customFormat="false" ht="15" hidden="false" customHeight="true" outlineLevel="0" collapsed="false">
      <c r="A13" s="20" t="s">
        <v>140</v>
      </c>
      <c r="B13" s="21" t="n">
        <f aca="false">COUNTIF('Risk Register'!$H$5:$H$18,A13)</f>
        <v>0</v>
      </c>
      <c r="C13" s="21" t="n">
        <f aca="false">COUNTIF('Risk Register'!$R$5:$R$18,A13)</f>
        <v>0</v>
      </c>
    </row>
    <row r="14" customFormat="false" ht="15" hidden="false" customHeight="true" outlineLevel="0" collapsed="false">
      <c r="A14" s="20" t="s">
        <v>142</v>
      </c>
      <c r="B14" s="21" t="n">
        <f aca="false">COUNTIF('Risk Register'!$H$5:$H$18,A14)</f>
        <v>10</v>
      </c>
      <c r="C14" s="21" t="n">
        <f aca="false">COUNTIF('Risk Register'!$R$5:$R$18,A14)</f>
        <v>0</v>
      </c>
    </row>
    <row r="15" customFormat="false" ht="15" hidden="false" customHeight="true" outlineLevel="0" collapsed="false">
      <c r="A15" s="20" t="s">
        <v>144</v>
      </c>
      <c r="B15" s="21" t="n">
        <f aca="false">COUNTIF('Risk Register'!$H$5:$H$18,A15)</f>
        <v>4</v>
      </c>
      <c r="C15" s="21" t="n">
        <f aca="false">COUNTIF('Risk Register'!$R$5:$R$18,A15)</f>
        <v>9</v>
      </c>
    </row>
    <row r="16" customFormat="false" ht="15" hidden="false" customHeight="true" outlineLevel="0" collapsed="false">
      <c r="A16" s="20" t="s">
        <v>146</v>
      </c>
      <c r="B16" s="21" t="n">
        <f aca="false">COUNTIF('Risk Register'!$H$5:$H$18,A16)</f>
        <v>0</v>
      </c>
      <c r="C16" s="21" t="n">
        <f aca="false">COUNTIF('Risk Register'!$R$5:$R$18,A16)</f>
        <v>5</v>
      </c>
    </row>
    <row r="17" customFormat="false" ht="15" hidden="false" customHeight="true" outlineLevel="0" collapsed="false">
      <c r="A17" s="22" t="s">
        <v>155</v>
      </c>
      <c r="B17" s="23" t="n">
        <f aca="false">SUM(B13:B16)</f>
        <v>14</v>
      </c>
      <c r="C17" s="23" t="n">
        <f aca="false">SUM(C13:C16)</f>
        <v>14</v>
      </c>
    </row>
    <row r="18" customFormat="false" ht="15" hidden="false" customHeight="true" outlineLevel="0" collapsed="false">
      <c r="A18" s="22" t="s">
        <v>156</v>
      </c>
      <c r="B18" s="24" t="n">
        <f aca="false">AVERAGE('Risk Register'!G5:G18)</f>
        <v>11.9285714285714</v>
      </c>
      <c r="C18" s="24" t="n">
        <f aca="false">AVERAGE('Risk Register'!Q5:Q18)</f>
        <v>6</v>
      </c>
    </row>
    <row r="20" customFormat="false" ht="15" hidden="false" customHeight="false" outlineLevel="0" collapsed="false">
      <c r="A20" s="4" t="s">
        <v>2</v>
      </c>
    </row>
  </sheetData>
  <printOptions headings="false" gridLines="fals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&amp;C&amp;9 © Hina Qurashee - Confidential Portfolio Sample</oddHeader>
    <oddFooter>&amp;C&amp;8 © 2026 Hina Qurashee. All rights reserved.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2026-10-05T12:55:59Z</dcterms:created>
  <dc:creator>openpyxl</dc:creator>
  <dc:description/>
  <dc:language>en-US</dc:language>
  <cp:lastModifiedBy/>
  <dcterms:modified xsi:type="dcterms:W3CDTF">2026-10-06T05:11:01Z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